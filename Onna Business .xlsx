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morrison\Documents\Claude_Code\Busness Tracker\"/>
    </mc:Choice>
  </mc:AlternateContent>
  <xr:revisionPtr revIDLastSave="0" documentId="8_{B254B141-DADE-440D-A6BC-4CB4662D86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" sheetId="1" r:id="rId1"/>
    <sheet name="Summary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F2" i="2"/>
  <c r="B2" i="2"/>
  <c r="A2" i="2"/>
  <c r="H52" i="1"/>
  <c r="H51" i="1"/>
  <c r="G51" i="1"/>
  <c r="O50" i="1"/>
  <c r="M50" i="1"/>
  <c r="H50" i="1"/>
  <c r="G50" i="1"/>
  <c r="O49" i="1"/>
  <c r="M49" i="1"/>
  <c r="L49" i="1"/>
  <c r="K49" i="1"/>
  <c r="J49" i="1"/>
  <c r="H49" i="1"/>
  <c r="G49" i="1"/>
  <c r="I49" i="1" s="1"/>
  <c r="O48" i="1"/>
  <c r="L48" i="1"/>
  <c r="M48" i="1" s="1"/>
  <c r="K48" i="1"/>
  <c r="J48" i="1"/>
  <c r="H48" i="1"/>
  <c r="G48" i="1" s="1"/>
  <c r="I48" i="1" s="1"/>
  <c r="O47" i="1"/>
  <c r="L47" i="1"/>
  <c r="M47" i="1" s="1"/>
  <c r="K47" i="1"/>
  <c r="J47" i="1"/>
  <c r="H47" i="1"/>
  <c r="G47" i="1"/>
  <c r="I47" i="1" s="1"/>
  <c r="O46" i="1"/>
  <c r="M46" i="1"/>
  <c r="L46" i="1"/>
  <c r="K46" i="1"/>
  <c r="J46" i="1"/>
  <c r="H46" i="1"/>
  <c r="G46" i="1"/>
  <c r="I46" i="1" s="1"/>
  <c r="O45" i="1"/>
  <c r="L45" i="1"/>
  <c r="M45" i="1" s="1"/>
  <c r="K45" i="1"/>
  <c r="J45" i="1"/>
  <c r="H45" i="1"/>
  <c r="G45" i="1" s="1"/>
  <c r="I45" i="1" s="1"/>
  <c r="O44" i="1"/>
  <c r="L44" i="1"/>
  <c r="M44" i="1" s="1"/>
  <c r="K44" i="1"/>
  <c r="J44" i="1"/>
  <c r="H44" i="1"/>
  <c r="G44" i="1"/>
  <c r="I44" i="1" s="1"/>
  <c r="O43" i="1"/>
  <c r="M43" i="1"/>
  <c r="L43" i="1"/>
  <c r="K43" i="1"/>
  <c r="J43" i="1"/>
  <c r="H43" i="1"/>
  <c r="G43" i="1"/>
  <c r="I43" i="1" s="1"/>
  <c r="O42" i="1"/>
  <c r="L42" i="1"/>
  <c r="M42" i="1" s="1"/>
  <c r="K42" i="1"/>
  <c r="J42" i="1"/>
  <c r="H42" i="1"/>
  <c r="G42" i="1" s="1"/>
  <c r="I42" i="1" s="1"/>
  <c r="O41" i="1"/>
  <c r="L41" i="1"/>
  <c r="M41" i="1" s="1"/>
  <c r="K41" i="1"/>
  <c r="J41" i="1"/>
  <c r="H41" i="1"/>
  <c r="G41" i="1"/>
  <c r="I41" i="1" s="1"/>
  <c r="O40" i="1"/>
  <c r="M40" i="1"/>
  <c r="L40" i="1"/>
  <c r="K40" i="1"/>
  <c r="J40" i="1"/>
  <c r="H40" i="1"/>
  <c r="G40" i="1" s="1"/>
  <c r="I40" i="1" s="1"/>
  <c r="O39" i="1"/>
  <c r="L39" i="1"/>
  <c r="M39" i="1" s="1"/>
  <c r="K39" i="1"/>
  <c r="J39" i="1"/>
  <c r="H39" i="1"/>
  <c r="G39" i="1" s="1"/>
  <c r="I39" i="1" s="1"/>
  <c r="O38" i="1"/>
  <c r="L38" i="1"/>
  <c r="M38" i="1" s="1"/>
  <c r="K38" i="1"/>
  <c r="J38" i="1"/>
  <c r="H38" i="1"/>
  <c r="G38" i="1"/>
  <c r="I38" i="1" s="1"/>
  <c r="O37" i="1"/>
  <c r="M37" i="1"/>
  <c r="L37" i="1"/>
  <c r="K37" i="1"/>
  <c r="J37" i="1"/>
  <c r="H37" i="1"/>
  <c r="G37" i="1"/>
  <c r="I37" i="1" s="1"/>
  <c r="O36" i="1"/>
  <c r="L36" i="1"/>
  <c r="M36" i="1" s="1"/>
  <c r="K36" i="1"/>
  <c r="J36" i="1"/>
  <c r="H36" i="1"/>
  <c r="G36" i="1" s="1"/>
  <c r="I36" i="1" s="1"/>
  <c r="O35" i="1"/>
  <c r="L35" i="1"/>
  <c r="M35" i="1" s="1"/>
  <c r="K35" i="1"/>
  <c r="J35" i="1"/>
  <c r="H35" i="1"/>
  <c r="G35" i="1"/>
  <c r="I35" i="1" s="1"/>
  <c r="O34" i="1"/>
  <c r="M34" i="1"/>
  <c r="L34" i="1"/>
  <c r="K34" i="1"/>
  <c r="J34" i="1"/>
  <c r="H34" i="1"/>
  <c r="G34" i="1"/>
  <c r="I34" i="1" s="1"/>
  <c r="O33" i="1"/>
  <c r="L33" i="1"/>
  <c r="M33" i="1" s="1"/>
  <c r="K33" i="1"/>
  <c r="J33" i="1"/>
  <c r="H33" i="1"/>
  <c r="G33" i="1" s="1"/>
  <c r="I33" i="1" s="1"/>
  <c r="O32" i="1"/>
  <c r="L32" i="1"/>
  <c r="M32" i="1" s="1"/>
  <c r="K32" i="1"/>
  <c r="J32" i="1"/>
  <c r="H32" i="1"/>
  <c r="G32" i="1"/>
  <c r="I32" i="1" s="1"/>
  <c r="O31" i="1"/>
  <c r="M31" i="1"/>
  <c r="L31" i="1"/>
  <c r="K31" i="1"/>
  <c r="J31" i="1"/>
  <c r="H31" i="1"/>
  <c r="G31" i="1" s="1"/>
  <c r="I31" i="1" s="1"/>
  <c r="O30" i="1"/>
  <c r="L30" i="1"/>
  <c r="M30" i="1" s="1"/>
  <c r="K30" i="1"/>
  <c r="J30" i="1"/>
  <c r="H30" i="1"/>
  <c r="G30" i="1" s="1"/>
  <c r="I30" i="1" s="1"/>
  <c r="O29" i="1"/>
  <c r="L29" i="1"/>
  <c r="M29" i="1" s="1"/>
  <c r="K29" i="1"/>
  <c r="J29" i="1"/>
  <c r="H29" i="1"/>
  <c r="G29" i="1"/>
  <c r="I29" i="1" s="1"/>
  <c r="O28" i="1"/>
  <c r="M28" i="1"/>
  <c r="L28" i="1"/>
  <c r="K28" i="1"/>
  <c r="J28" i="1"/>
  <c r="H28" i="1"/>
  <c r="G28" i="1"/>
  <c r="I28" i="1" s="1"/>
  <c r="O27" i="1"/>
  <c r="L27" i="1"/>
  <c r="M27" i="1" s="1"/>
  <c r="K27" i="1"/>
  <c r="J27" i="1"/>
  <c r="H27" i="1"/>
  <c r="G27" i="1" s="1"/>
  <c r="I27" i="1" s="1"/>
  <c r="O26" i="1"/>
  <c r="L26" i="1"/>
  <c r="M26" i="1" s="1"/>
  <c r="K26" i="1"/>
  <c r="J26" i="1"/>
  <c r="H26" i="1"/>
  <c r="G26" i="1"/>
  <c r="I26" i="1" s="1"/>
  <c r="O25" i="1"/>
  <c r="M25" i="1"/>
  <c r="L25" i="1"/>
  <c r="K25" i="1"/>
  <c r="J25" i="1"/>
  <c r="H25" i="1"/>
  <c r="G25" i="1"/>
  <c r="I25" i="1" s="1"/>
  <c r="O24" i="1"/>
  <c r="L24" i="1"/>
  <c r="M24" i="1" s="1"/>
  <c r="K24" i="1"/>
  <c r="J24" i="1"/>
  <c r="H24" i="1"/>
  <c r="G24" i="1" s="1"/>
  <c r="I24" i="1" s="1"/>
  <c r="O23" i="1"/>
  <c r="L23" i="1"/>
  <c r="M23" i="1" s="1"/>
  <c r="K23" i="1"/>
  <c r="J23" i="1"/>
  <c r="H23" i="1"/>
  <c r="G23" i="1"/>
  <c r="I23" i="1" s="1"/>
  <c r="O22" i="1"/>
  <c r="M22" i="1"/>
  <c r="L22" i="1"/>
  <c r="K22" i="1"/>
  <c r="J22" i="1"/>
  <c r="H22" i="1"/>
  <c r="G22" i="1"/>
  <c r="I22" i="1" s="1"/>
  <c r="O21" i="1"/>
  <c r="L21" i="1"/>
  <c r="M21" i="1" s="1"/>
  <c r="K21" i="1"/>
  <c r="J21" i="1"/>
  <c r="H21" i="1"/>
  <c r="G21" i="1" s="1"/>
  <c r="I21" i="1" s="1"/>
  <c r="O20" i="1"/>
  <c r="L20" i="1"/>
  <c r="M20" i="1" s="1"/>
  <c r="K20" i="1"/>
  <c r="J20" i="1"/>
  <c r="H20" i="1"/>
  <c r="G20" i="1"/>
  <c r="I20" i="1" s="1"/>
  <c r="O19" i="1"/>
  <c r="M19" i="1"/>
  <c r="L19" i="1"/>
  <c r="K19" i="1"/>
  <c r="J19" i="1"/>
  <c r="H19" i="1"/>
  <c r="G19" i="1"/>
  <c r="I19" i="1" s="1"/>
  <c r="O18" i="1"/>
  <c r="L18" i="1"/>
  <c r="M18" i="1" s="1"/>
  <c r="K18" i="1"/>
  <c r="J18" i="1"/>
  <c r="H18" i="1"/>
  <c r="G18" i="1" s="1"/>
  <c r="I18" i="1" s="1"/>
  <c r="O17" i="1"/>
  <c r="L17" i="1"/>
  <c r="M17" i="1" s="1"/>
  <c r="K17" i="1"/>
  <c r="J17" i="1"/>
  <c r="H17" i="1"/>
  <c r="G17" i="1"/>
  <c r="I17" i="1" s="1"/>
  <c r="O16" i="1"/>
  <c r="M16" i="1"/>
  <c r="L16" i="1"/>
  <c r="K16" i="1"/>
  <c r="J16" i="1"/>
  <c r="H16" i="1"/>
  <c r="G16" i="1"/>
  <c r="I16" i="1" s="1"/>
  <c r="O15" i="1"/>
  <c r="L15" i="1"/>
  <c r="M15" i="1" s="1"/>
  <c r="K15" i="1"/>
  <c r="J15" i="1"/>
  <c r="H15" i="1"/>
  <c r="G15" i="1" s="1"/>
  <c r="I15" i="1" s="1"/>
  <c r="O14" i="1"/>
  <c r="L14" i="1"/>
  <c r="M14" i="1" s="1"/>
  <c r="K14" i="1"/>
  <c r="J14" i="1"/>
  <c r="H14" i="1"/>
  <c r="G14" i="1"/>
  <c r="I14" i="1" s="1"/>
  <c r="O13" i="1"/>
  <c r="M13" i="1"/>
  <c r="L13" i="1"/>
  <c r="K13" i="1"/>
  <c r="J13" i="1"/>
  <c r="H13" i="1"/>
  <c r="G13" i="1"/>
  <c r="I13" i="1" s="1"/>
  <c r="O12" i="1"/>
  <c r="L12" i="1"/>
  <c r="M12" i="1" s="1"/>
  <c r="K12" i="1"/>
  <c r="J12" i="1"/>
  <c r="H12" i="1"/>
  <c r="G12" i="1" s="1"/>
  <c r="I12" i="1" s="1"/>
  <c r="O11" i="1"/>
  <c r="L11" i="1"/>
  <c r="M11" i="1" s="1"/>
  <c r="K11" i="1"/>
  <c r="J11" i="1"/>
  <c r="H11" i="1"/>
  <c r="G11" i="1"/>
  <c r="I11" i="1" s="1"/>
  <c r="O10" i="1"/>
  <c r="M10" i="1"/>
  <c r="L10" i="1"/>
  <c r="K10" i="1"/>
  <c r="J10" i="1"/>
  <c r="H10" i="1"/>
  <c r="G10" i="1"/>
  <c r="I10" i="1" s="1"/>
  <c r="O9" i="1"/>
  <c r="L9" i="1"/>
  <c r="M9" i="1" s="1"/>
  <c r="K9" i="1"/>
  <c r="J9" i="1"/>
  <c r="H9" i="1"/>
  <c r="G9" i="1" s="1"/>
  <c r="I9" i="1" s="1"/>
  <c r="O8" i="1"/>
  <c r="L8" i="1"/>
  <c r="M8" i="1" s="1"/>
  <c r="K8" i="1"/>
  <c r="J8" i="1"/>
  <c r="H8" i="1"/>
  <c r="G8" i="1"/>
  <c r="I8" i="1" s="1"/>
  <c r="O7" i="1"/>
  <c r="M7" i="1"/>
  <c r="L7" i="1"/>
  <c r="K7" i="1"/>
  <c r="J7" i="1"/>
  <c r="H7" i="1"/>
  <c r="G7" i="1"/>
  <c r="I7" i="1" s="1"/>
  <c r="O6" i="1"/>
  <c r="L6" i="1"/>
  <c r="M6" i="1" s="1"/>
  <c r="K6" i="1"/>
  <c r="J6" i="1"/>
  <c r="H6" i="1"/>
  <c r="G6" i="1" s="1"/>
  <c r="I6" i="1" s="1"/>
  <c r="O5" i="1"/>
  <c r="L5" i="1"/>
  <c r="M5" i="1" s="1"/>
  <c r="K5" i="1"/>
  <c r="J5" i="1"/>
  <c r="H5" i="1"/>
  <c r="G5" i="1"/>
  <c r="I5" i="1" s="1"/>
  <c r="O4" i="1"/>
  <c r="M4" i="1"/>
  <c r="L4" i="1"/>
  <c r="K4" i="1"/>
  <c r="J4" i="1"/>
  <c r="H4" i="1"/>
  <c r="G4" i="1"/>
  <c r="I4" i="1" s="1"/>
  <c r="Q3" i="1"/>
  <c r="O3" i="1"/>
  <c r="L3" i="1"/>
  <c r="M3" i="1" s="1"/>
  <c r="K3" i="1"/>
  <c r="J3" i="1"/>
  <c r="H3" i="1"/>
  <c r="G3" i="1" s="1"/>
  <c r="Q2" i="1"/>
  <c r="O2" i="1"/>
  <c r="L2" i="1"/>
  <c r="M2" i="1" s="1"/>
  <c r="K2" i="1"/>
  <c r="J2" i="1"/>
  <c r="H2" i="1"/>
  <c r="C2" i="2" s="1"/>
  <c r="G2" i="1"/>
  <c r="D2" i="2" l="1"/>
  <c r="E2" i="2"/>
</calcChain>
</file>

<file path=xl/sharedStrings.xml><?xml version="1.0" encoding="utf-8"?>
<sst xmlns="http://schemas.openxmlformats.org/spreadsheetml/2006/main" count="75" uniqueCount="73">
  <si>
    <t>Date Bought</t>
  </si>
  <si>
    <t>Date Sold</t>
  </si>
  <si>
    <t xml:space="preserve">Item Description </t>
  </si>
  <si>
    <t>Cost</t>
  </si>
  <si>
    <t>Listing Price</t>
  </si>
  <si>
    <t>Sold For</t>
  </si>
  <si>
    <t>Prediction Profit</t>
  </si>
  <si>
    <t xml:space="preserve">Actual Profit </t>
  </si>
  <si>
    <t>Predicted Margin</t>
  </si>
  <si>
    <t>Actual margin</t>
  </si>
  <si>
    <t>Days to sell</t>
  </si>
  <si>
    <t>Status</t>
  </si>
  <si>
    <t>Proftit/Day</t>
  </si>
  <si>
    <t>mont sold</t>
  </si>
  <si>
    <t>month</t>
  </si>
  <si>
    <t>profit that month</t>
  </si>
  <si>
    <t>drop leaf Table with 2 chairs</t>
  </si>
  <si>
    <t xml:space="preserve">Coffee table </t>
  </si>
  <si>
    <t>White desk</t>
  </si>
  <si>
    <t>bar stools</t>
  </si>
  <si>
    <t>Table/4 charis - Has insert</t>
  </si>
  <si>
    <t>Scalloped coffee table</t>
  </si>
  <si>
    <t>Table dark top white legs</t>
  </si>
  <si>
    <t>Chair</t>
  </si>
  <si>
    <t>Furniture Restorer</t>
  </si>
  <si>
    <t>dark side table</t>
  </si>
  <si>
    <t>mini table</t>
  </si>
  <si>
    <t>lamp</t>
  </si>
  <si>
    <t xml:space="preserve">Bench </t>
  </si>
  <si>
    <t>little table with drawer</t>
  </si>
  <si>
    <t>Drop leaf table chairs 4</t>
  </si>
  <si>
    <t xml:space="preserve">drop leaf table with chairs </t>
  </si>
  <si>
    <t xml:space="preserve">feathen Allen </t>
  </si>
  <si>
    <t>eathan allen chairs 3</t>
  </si>
  <si>
    <t>cute little table and 4 chairs</t>
  </si>
  <si>
    <t>mirror</t>
  </si>
  <si>
    <t>golden floral picture</t>
  </si>
  <si>
    <t>small entry table</t>
  </si>
  <si>
    <t>glass coffee table</t>
  </si>
  <si>
    <t>glass end table</t>
  </si>
  <si>
    <t>white round side tables x 2</t>
  </si>
  <si>
    <t>Solid Oak Storage Bench</t>
  </si>
  <si>
    <t xml:space="preserve">eathen Allen side table </t>
  </si>
  <si>
    <t>ikea drop leaf</t>
  </si>
  <si>
    <t>blue back pack</t>
  </si>
  <si>
    <t xml:space="preserve">fall picture </t>
  </si>
  <si>
    <t>cat tree</t>
  </si>
  <si>
    <t xml:space="preserve">antique small wood dresser </t>
  </si>
  <si>
    <t>dresser 7 drawer</t>
  </si>
  <si>
    <t xml:space="preserve">green wood mirror </t>
  </si>
  <si>
    <t xml:space="preserve">3 door wooded side table </t>
  </si>
  <si>
    <t>rug 1</t>
  </si>
  <si>
    <t>rug 2</t>
  </si>
  <si>
    <t xml:space="preserve">leather Ottoman </t>
  </si>
  <si>
    <t>vanity stool</t>
  </si>
  <si>
    <t>entry table</t>
  </si>
  <si>
    <t>white Stanley night stand</t>
  </si>
  <si>
    <t>dark end table</t>
  </si>
  <si>
    <t>2 wooden chairs</t>
  </si>
  <si>
    <t xml:space="preserve">Large mountain picture </t>
  </si>
  <si>
    <t>big dresser</t>
  </si>
  <si>
    <t>table set</t>
  </si>
  <si>
    <t>hutch</t>
  </si>
  <si>
    <t xml:space="preserve">oak dresser </t>
  </si>
  <si>
    <t>desk</t>
  </si>
  <si>
    <t xml:space="preserve">small sideboard/buffer </t>
  </si>
  <si>
    <t>Total spent</t>
  </si>
  <si>
    <t>Total made</t>
  </si>
  <si>
    <t xml:space="preserve">Total profit </t>
  </si>
  <si>
    <t>Predicted profit</t>
  </si>
  <si>
    <t>Total amt</t>
  </si>
  <si>
    <t>Current Invested</t>
  </si>
  <si>
    <t>Total Topline (Predicted+Actual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</si>
</sst>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workbookViewId="0"/>
  </sheetViews>
  <sheetFormatPr defaultColWidth="12.6328125" defaultRowHeight="15.75" customHeight="1" x14ac:dyDescent="0.25"/>
  <cols>
    <col min="3" max="3" width="21" customWidth="1"/>
    <col min="9" max="9" width="13.269531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O1" s="2" t="s">
        <v>13</v>
      </c>
      <c r="P1" s="1" t="s">
        <v>14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4">
        <v>45944</v>
      </c>
      <c r="B2" s="4">
        <v>45951</v>
      </c>
      <c r="C2" s="1" t="s">
        <v>16</v>
      </c>
      <c r="D2" s="1">
        <v>36</v>
      </c>
      <c r="E2" s="1"/>
      <c r="F2" s="1">
        <v>225</v>
      </c>
      <c r="G2" s="1">
        <f t="shared" ref="G2:G51" si="0">IF(ISNUMBER(H2),0,E2-D2)</f>
        <v>0</v>
      </c>
      <c r="H2" s="1">
        <f t="shared" ref="H2:H3" si="1">F2-D2</f>
        <v>189</v>
      </c>
      <c r="I2" s="5"/>
      <c r="J2" s="5">
        <f t="shared" ref="J2:J49" si="2">((F2-D2)/F2)</f>
        <v>0.84</v>
      </c>
      <c r="K2" s="1">
        <f t="shared" ref="K2:K49" si="3">IF(B2="",,B2-A2)</f>
        <v>7</v>
      </c>
      <c r="L2" s="2" t="str">
        <f t="shared" ref="L2:L49" si="4">IF(B2="","Listed","Sold")</f>
        <v>Sold</v>
      </c>
      <c r="M2" s="3">
        <f t="shared" ref="M2:M4" si="5">IF(L2="SOLD",H2/K2)</f>
        <v>27</v>
      </c>
      <c r="O2" s="2">
        <f t="shared" ref="O2:O50" si="6">MONTH(B2)</f>
        <v>10</v>
      </c>
      <c r="P2" s="1">
        <v>10</v>
      </c>
      <c r="Q2" s="1">
        <f t="shared" ref="Q2:Q3" si="7">SUMIF(O:O,P2,H:H)</f>
        <v>831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4">
        <v>45944</v>
      </c>
      <c r="B3" s="4">
        <v>45945</v>
      </c>
      <c r="C3" s="1" t="s">
        <v>17</v>
      </c>
      <c r="D3" s="1">
        <v>18</v>
      </c>
      <c r="E3" s="1">
        <v>100</v>
      </c>
      <c r="F3" s="1">
        <v>150</v>
      </c>
      <c r="G3" s="1">
        <f t="shared" si="0"/>
        <v>0</v>
      </c>
      <c r="H3" s="1">
        <f t="shared" si="1"/>
        <v>132</v>
      </c>
      <c r="I3" s="5"/>
      <c r="J3" s="5">
        <f t="shared" si="2"/>
        <v>0.88</v>
      </c>
      <c r="K3" s="1">
        <f t="shared" si="3"/>
        <v>1</v>
      </c>
      <c r="L3" s="2" t="str">
        <f t="shared" si="4"/>
        <v>Sold</v>
      </c>
      <c r="M3" s="3">
        <f t="shared" si="5"/>
        <v>132</v>
      </c>
      <c r="N3" s="1"/>
      <c r="O3" s="2">
        <f t="shared" si="6"/>
        <v>10</v>
      </c>
      <c r="P3" s="1">
        <v>11</v>
      </c>
      <c r="Q3" s="1">
        <f t="shared" si="7"/>
        <v>1468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4">
        <v>45949</v>
      </c>
      <c r="B4" s="4">
        <v>45955</v>
      </c>
      <c r="C4" s="1" t="s">
        <v>18</v>
      </c>
      <c r="D4" s="1">
        <v>30</v>
      </c>
      <c r="E4" s="1">
        <v>100</v>
      </c>
      <c r="F4" s="1">
        <v>100</v>
      </c>
      <c r="G4" s="1">
        <f t="shared" si="0"/>
        <v>0</v>
      </c>
      <c r="H4" s="1">
        <f>IF(F4-D4&lt;-1,"",F4-D4)</f>
        <v>70</v>
      </c>
      <c r="I4" s="5">
        <f t="shared" ref="I4:I49" si="8">G4/E4</f>
        <v>0</v>
      </c>
      <c r="J4" s="5">
        <f t="shared" si="2"/>
        <v>0.7</v>
      </c>
      <c r="K4" s="1">
        <f t="shared" si="3"/>
        <v>6</v>
      </c>
      <c r="L4" s="2" t="str">
        <f t="shared" si="4"/>
        <v>Sold</v>
      </c>
      <c r="M4" s="3">
        <f t="shared" si="5"/>
        <v>11.666666666666666</v>
      </c>
      <c r="N4" s="1"/>
      <c r="O4" s="2">
        <f t="shared" si="6"/>
        <v>10</v>
      </c>
      <c r="P4" s="1">
        <v>12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5">
      <c r="A5" s="4">
        <v>45944</v>
      </c>
      <c r="B5" s="4">
        <v>46009</v>
      </c>
      <c r="C5" s="1" t="s">
        <v>19</v>
      </c>
      <c r="D5" s="1">
        <v>35</v>
      </c>
      <c r="E5" s="1">
        <v>150</v>
      </c>
      <c r="F5" s="1">
        <v>100</v>
      </c>
      <c r="G5" s="1">
        <f t="shared" si="0"/>
        <v>0</v>
      </c>
      <c r="H5" s="1">
        <f t="shared" ref="H5:H52" si="9">IF(F5-D5&lt;-1,"",F5-D5)</f>
        <v>65</v>
      </c>
      <c r="I5" s="5">
        <f t="shared" si="8"/>
        <v>0</v>
      </c>
      <c r="J5" s="5">
        <f t="shared" si="2"/>
        <v>0.65</v>
      </c>
      <c r="K5" s="1">
        <f t="shared" si="3"/>
        <v>65</v>
      </c>
      <c r="L5" s="2" t="str">
        <f t="shared" si="4"/>
        <v>Sold</v>
      </c>
      <c r="M5" s="3">
        <f t="shared" ref="M5:M50" si="10">IF(L5="SOLD",H5/K5,"")</f>
        <v>1</v>
      </c>
      <c r="N5" s="1"/>
      <c r="O5" s="2">
        <f t="shared" si="6"/>
        <v>12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4">
        <v>45949</v>
      </c>
      <c r="B6" s="4">
        <v>45956</v>
      </c>
      <c r="C6" s="1" t="s">
        <v>20</v>
      </c>
      <c r="D6" s="1">
        <v>38</v>
      </c>
      <c r="E6" s="1">
        <v>275</v>
      </c>
      <c r="F6" s="1">
        <v>225</v>
      </c>
      <c r="G6" s="1">
        <f t="shared" si="0"/>
        <v>0</v>
      </c>
      <c r="H6" s="1">
        <f t="shared" si="9"/>
        <v>187</v>
      </c>
      <c r="I6" s="5">
        <f t="shared" si="8"/>
        <v>0</v>
      </c>
      <c r="J6" s="5">
        <f t="shared" si="2"/>
        <v>0.83111111111111113</v>
      </c>
      <c r="K6" s="1">
        <f t="shared" si="3"/>
        <v>7</v>
      </c>
      <c r="L6" s="2" t="str">
        <f t="shared" si="4"/>
        <v>Sold</v>
      </c>
      <c r="M6" s="3">
        <f t="shared" si="10"/>
        <v>26.714285714285715</v>
      </c>
      <c r="N6" s="1"/>
      <c r="O6" s="2">
        <f t="shared" si="6"/>
        <v>10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4">
        <v>45944</v>
      </c>
      <c r="B7" s="4">
        <v>45953</v>
      </c>
      <c r="C7" s="1" t="s">
        <v>21</v>
      </c>
      <c r="D7" s="1">
        <v>42</v>
      </c>
      <c r="E7" s="1">
        <v>100</v>
      </c>
      <c r="F7" s="1">
        <v>100</v>
      </c>
      <c r="G7" s="1">
        <f t="shared" si="0"/>
        <v>0</v>
      </c>
      <c r="H7" s="1">
        <f t="shared" si="9"/>
        <v>58</v>
      </c>
      <c r="I7" s="5">
        <f t="shared" si="8"/>
        <v>0</v>
      </c>
      <c r="J7" s="5">
        <f t="shared" si="2"/>
        <v>0.57999999999999996</v>
      </c>
      <c r="K7" s="1">
        <f t="shared" si="3"/>
        <v>9</v>
      </c>
      <c r="L7" s="2" t="str">
        <f t="shared" si="4"/>
        <v>Sold</v>
      </c>
      <c r="M7" s="3">
        <f t="shared" si="10"/>
        <v>6.4444444444444446</v>
      </c>
      <c r="N7" s="1"/>
      <c r="O7" s="2">
        <f t="shared" si="6"/>
        <v>10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4">
        <v>45952</v>
      </c>
      <c r="B8" s="4">
        <v>45955</v>
      </c>
      <c r="C8" s="1" t="s">
        <v>22</v>
      </c>
      <c r="D8" s="1">
        <v>45</v>
      </c>
      <c r="E8" s="1">
        <v>225</v>
      </c>
      <c r="F8" s="1">
        <v>200</v>
      </c>
      <c r="G8" s="1">
        <f t="shared" si="0"/>
        <v>0</v>
      </c>
      <c r="H8" s="1">
        <f t="shared" si="9"/>
        <v>155</v>
      </c>
      <c r="I8" s="5">
        <f t="shared" si="8"/>
        <v>0</v>
      </c>
      <c r="J8" s="5">
        <f t="shared" si="2"/>
        <v>0.77500000000000002</v>
      </c>
      <c r="K8" s="1">
        <f t="shared" si="3"/>
        <v>3</v>
      </c>
      <c r="L8" s="2" t="str">
        <f t="shared" si="4"/>
        <v>Sold</v>
      </c>
      <c r="M8" s="3">
        <f t="shared" si="10"/>
        <v>51.666666666666664</v>
      </c>
      <c r="N8" s="1"/>
      <c r="O8" s="2">
        <f t="shared" si="6"/>
        <v>10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4">
        <v>45952</v>
      </c>
      <c r="B9" s="4">
        <v>45986</v>
      </c>
      <c r="C9" s="1" t="s">
        <v>23</v>
      </c>
      <c r="D9" s="1">
        <v>12</v>
      </c>
      <c r="E9" s="1">
        <v>50</v>
      </c>
      <c r="F9" s="1">
        <v>40</v>
      </c>
      <c r="G9" s="1">
        <f t="shared" si="0"/>
        <v>0</v>
      </c>
      <c r="H9" s="1">
        <f t="shared" si="9"/>
        <v>28</v>
      </c>
      <c r="I9" s="5">
        <f t="shared" si="8"/>
        <v>0</v>
      </c>
      <c r="J9" s="5">
        <f t="shared" si="2"/>
        <v>0.7</v>
      </c>
      <c r="K9" s="1">
        <f t="shared" si="3"/>
        <v>34</v>
      </c>
      <c r="L9" s="2" t="str">
        <f t="shared" si="4"/>
        <v>Sold</v>
      </c>
      <c r="M9" s="3">
        <f t="shared" si="10"/>
        <v>0.82352941176470584</v>
      </c>
      <c r="N9" s="1"/>
      <c r="O9" s="2">
        <f t="shared" si="6"/>
        <v>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4">
        <v>45952</v>
      </c>
      <c r="B10" s="4">
        <v>45952</v>
      </c>
      <c r="C10" s="1" t="s">
        <v>24</v>
      </c>
      <c r="D10" s="1">
        <v>10</v>
      </c>
      <c r="E10" s="1">
        <v>0</v>
      </c>
      <c r="F10" s="1"/>
      <c r="G10" s="1">
        <f t="shared" si="0"/>
        <v>-10</v>
      </c>
      <c r="H10" s="1" t="str">
        <f t="shared" si="9"/>
        <v/>
      </c>
      <c r="I10" s="5" t="e">
        <f t="shared" si="8"/>
        <v>#DIV/0!</v>
      </c>
      <c r="J10" s="5" t="e">
        <f t="shared" si="2"/>
        <v>#DIV/0!</v>
      </c>
      <c r="K10" s="1">
        <f t="shared" si="3"/>
        <v>0</v>
      </c>
      <c r="L10" s="2" t="str">
        <f t="shared" si="4"/>
        <v>Sold</v>
      </c>
      <c r="M10" s="3" t="e">
        <f t="shared" si="10"/>
        <v>#VALUE!</v>
      </c>
      <c r="N10" s="1"/>
      <c r="O10" s="2">
        <f t="shared" si="6"/>
        <v>10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4">
        <v>45956</v>
      </c>
      <c r="B11" s="4">
        <v>45967</v>
      </c>
      <c r="C11" s="1" t="s">
        <v>25</v>
      </c>
      <c r="D11" s="1">
        <v>8</v>
      </c>
      <c r="E11" s="1">
        <v>100</v>
      </c>
      <c r="F11" s="1">
        <v>60</v>
      </c>
      <c r="G11" s="1">
        <f t="shared" si="0"/>
        <v>0</v>
      </c>
      <c r="H11" s="1">
        <f t="shared" si="9"/>
        <v>52</v>
      </c>
      <c r="I11" s="5">
        <f t="shared" si="8"/>
        <v>0</v>
      </c>
      <c r="J11" s="5">
        <f t="shared" si="2"/>
        <v>0.8666666666666667</v>
      </c>
      <c r="K11" s="1">
        <f t="shared" si="3"/>
        <v>11</v>
      </c>
      <c r="L11" s="2" t="str">
        <f t="shared" si="4"/>
        <v>Sold</v>
      </c>
      <c r="M11" s="3">
        <f t="shared" si="10"/>
        <v>4.7272727272727275</v>
      </c>
      <c r="N11" s="1"/>
      <c r="O11" s="2">
        <f t="shared" si="6"/>
        <v>11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4">
        <v>45956</v>
      </c>
      <c r="B12" s="4">
        <v>45968</v>
      </c>
      <c r="C12" s="1" t="s">
        <v>26</v>
      </c>
      <c r="D12" s="1">
        <v>6</v>
      </c>
      <c r="E12" s="1">
        <v>25</v>
      </c>
      <c r="F12" s="1">
        <v>25</v>
      </c>
      <c r="G12" s="1">
        <f t="shared" si="0"/>
        <v>0</v>
      </c>
      <c r="H12" s="1">
        <f t="shared" si="9"/>
        <v>19</v>
      </c>
      <c r="I12" s="5">
        <f t="shared" si="8"/>
        <v>0</v>
      </c>
      <c r="J12" s="5">
        <f t="shared" si="2"/>
        <v>0.76</v>
      </c>
      <c r="K12" s="1">
        <f t="shared" si="3"/>
        <v>12</v>
      </c>
      <c r="L12" s="2" t="str">
        <f t="shared" si="4"/>
        <v>Sold</v>
      </c>
      <c r="M12" s="3">
        <f t="shared" si="10"/>
        <v>1.5833333333333333</v>
      </c>
      <c r="N12" s="1"/>
      <c r="O12" s="2">
        <f t="shared" si="6"/>
        <v>11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4">
        <v>45957</v>
      </c>
      <c r="B13" s="4">
        <v>45961</v>
      </c>
      <c r="C13" s="1" t="s">
        <v>27</v>
      </c>
      <c r="D13" s="1">
        <v>10</v>
      </c>
      <c r="E13" s="1">
        <v>50</v>
      </c>
      <c r="F13" s="1">
        <v>50</v>
      </c>
      <c r="G13" s="1">
        <f t="shared" si="0"/>
        <v>0</v>
      </c>
      <c r="H13" s="1">
        <f t="shared" si="9"/>
        <v>40</v>
      </c>
      <c r="I13" s="5">
        <f t="shared" si="8"/>
        <v>0</v>
      </c>
      <c r="J13" s="5">
        <f t="shared" si="2"/>
        <v>0.8</v>
      </c>
      <c r="K13" s="1">
        <f t="shared" si="3"/>
        <v>4</v>
      </c>
      <c r="L13" s="2" t="str">
        <f t="shared" si="4"/>
        <v>Sold</v>
      </c>
      <c r="M13" s="3">
        <f t="shared" si="10"/>
        <v>10</v>
      </c>
      <c r="N13" s="1"/>
      <c r="O13" s="2">
        <f t="shared" si="6"/>
        <v>10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4">
        <v>45959</v>
      </c>
      <c r="B14" s="4">
        <v>45969</v>
      </c>
      <c r="C14" s="1" t="s">
        <v>28</v>
      </c>
      <c r="D14" s="1">
        <v>28</v>
      </c>
      <c r="E14" s="1">
        <v>50</v>
      </c>
      <c r="F14" s="1">
        <v>125</v>
      </c>
      <c r="G14" s="1">
        <f t="shared" si="0"/>
        <v>0</v>
      </c>
      <c r="H14" s="1">
        <f t="shared" si="9"/>
        <v>97</v>
      </c>
      <c r="I14" s="5">
        <f t="shared" si="8"/>
        <v>0</v>
      </c>
      <c r="J14" s="5">
        <f t="shared" si="2"/>
        <v>0.77600000000000002</v>
      </c>
      <c r="K14" s="1">
        <f t="shared" si="3"/>
        <v>10</v>
      </c>
      <c r="L14" s="2" t="str">
        <f t="shared" si="4"/>
        <v>Sold</v>
      </c>
      <c r="M14" s="3">
        <f t="shared" si="10"/>
        <v>9.6999999999999993</v>
      </c>
      <c r="N14" s="1"/>
      <c r="O14" s="2">
        <f t="shared" si="6"/>
        <v>11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4">
        <v>45959</v>
      </c>
      <c r="B15" s="4">
        <v>45969</v>
      </c>
      <c r="C15" s="1" t="s">
        <v>29</v>
      </c>
      <c r="D15" s="1">
        <v>18</v>
      </c>
      <c r="E15" s="1">
        <v>50</v>
      </c>
      <c r="F15" s="1">
        <v>40</v>
      </c>
      <c r="G15" s="1">
        <f t="shared" si="0"/>
        <v>0</v>
      </c>
      <c r="H15" s="1">
        <f t="shared" si="9"/>
        <v>22</v>
      </c>
      <c r="I15" s="5">
        <f t="shared" si="8"/>
        <v>0</v>
      </c>
      <c r="J15" s="5">
        <f t="shared" si="2"/>
        <v>0.55000000000000004</v>
      </c>
      <c r="K15" s="1">
        <f t="shared" si="3"/>
        <v>10</v>
      </c>
      <c r="L15" s="2" t="str">
        <f t="shared" si="4"/>
        <v>Sold</v>
      </c>
      <c r="M15" s="3">
        <f t="shared" si="10"/>
        <v>2.2000000000000002</v>
      </c>
      <c r="N15" s="1"/>
      <c r="O15" s="2">
        <f t="shared" si="6"/>
        <v>11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4">
        <v>45959</v>
      </c>
      <c r="B16" s="4">
        <v>45962</v>
      </c>
      <c r="C16" s="1" t="s">
        <v>30</v>
      </c>
      <c r="D16" s="1">
        <v>75</v>
      </c>
      <c r="E16" s="1">
        <v>400</v>
      </c>
      <c r="F16" s="1">
        <v>280</v>
      </c>
      <c r="G16" s="1">
        <f t="shared" si="0"/>
        <v>0</v>
      </c>
      <c r="H16" s="1">
        <f t="shared" si="9"/>
        <v>205</v>
      </c>
      <c r="I16" s="5">
        <f t="shared" si="8"/>
        <v>0</v>
      </c>
      <c r="J16" s="5">
        <f t="shared" si="2"/>
        <v>0.7321428571428571</v>
      </c>
      <c r="K16" s="1">
        <f t="shared" si="3"/>
        <v>3</v>
      </c>
      <c r="L16" s="2" t="str">
        <f t="shared" si="4"/>
        <v>Sold</v>
      </c>
      <c r="M16" s="3">
        <f t="shared" si="10"/>
        <v>68.333333333333329</v>
      </c>
      <c r="N16" s="1"/>
      <c r="O16" s="2">
        <f t="shared" si="6"/>
        <v>11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4">
        <v>45959</v>
      </c>
      <c r="B17" s="4">
        <v>45970</v>
      </c>
      <c r="C17" s="1" t="s">
        <v>31</v>
      </c>
      <c r="D17" s="1">
        <v>10</v>
      </c>
      <c r="E17" s="1">
        <v>250</v>
      </c>
      <c r="F17" s="1">
        <v>95</v>
      </c>
      <c r="G17" s="1">
        <f t="shared" si="0"/>
        <v>0</v>
      </c>
      <c r="H17" s="1">
        <f t="shared" si="9"/>
        <v>85</v>
      </c>
      <c r="I17" s="5">
        <f t="shared" si="8"/>
        <v>0</v>
      </c>
      <c r="J17" s="5">
        <f t="shared" si="2"/>
        <v>0.89473684210526316</v>
      </c>
      <c r="K17" s="1">
        <f t="shared" si="3"/>
        <v>11</v>
      </c>
      <c r="L17" s="2" t="str">
        <f t="shared" si="4"/>
        <v>Sold</v>
      </c>
      <c r="M17" s="3">
        <f t="shared" si="10"/>
        <v>7.7272727272727275</v>
      </c>
      <c r="N17" s="1"/>
      <c r="O17" s="2">
        <f t="shared" si="6"/>
        <v>11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4">
        <v>45959</v>
      </c>
      <c r="B18" s="4">
        <v>46028</v>
      </c>
      <c r="C18" s="1" t="s">
        <v>32</v>
      </c>
      <c r="D18" s="1">
        <v>0</v>
      </c>
      <c r="E18" s="1"/>
      <c r="F18" s="1">
        <v>60</v>
      </c>
      <c r="G18" s="1">
        <f t="shared" si="0"/>
        <v>0</v>
      </c>
      <c r="H18" s="1">
        <f t="shared" si="9"/>
        <v>60</v>
      </c>
      <c r="I18" s="5" t="e">
        <f t="shared" si="8"/>
        <v>#DIV/0!</v>
      </c>
      <c r="J18" s="5">
        <f t="shared" si="2"/>
        <v>1</v>
      </c>
      <c r="K18" s="1">
        <f t="shared" si="3"/>
        <v>69</v>
      </c>
      <c r="L18" s="2" t="str">
        <f t="shared" si="4"/>
        <v>Sold</v>
      </c>
      <c r="M18" s="3">
        <f t="shared" si="10"/>
        <v>0.86956521739130432</v>
      </c>
      <c r="N18" s="1"/>
      <c r="O18" s="2">
        <f t="shared" si="6"/>
        <v>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4">
        <v>45959</v>
      </c>
      <c r="B19" s="4">
        <v>45966</v>
      </c>
      <c r="C19" s="1" t="s">
        <v>33</v>
      </c>
      <c r="D19" s="1">
        <v>15</v>
      </c>
      <c r="E19" s="1">
        <v>150</v>
      </c>
      <c r="F19" s="1">
        <v>150</v>
      </c>
      <c r="G19" s="1">
        <f t="shared" si="0"/>
        <v>0</v>
      </c>
      <c r="H19" s="1">
        <f t="shared" si="9"/>
        <v>135</v>
      </c>
      <c r="I19" s="5">
        <f t="shared" si="8"/>
        <v>0</v>
      </c>
      <c r="J19" s="5">
        <f t="shared" si="2"/>
        <v>0.9</v>
      </c>
      <c r="K19" s="1">
        <f t="shared" si="3"/>
        <v>7</v>
      </c>
      <c r="L19" s="2" t="str">
        <f t="shared" si="4"/>
        <v>Sold</v>
      </c>
      <c r="M19" s="3">
        <f t="shared" si="10"/>
        <v>19.285714285714285</v>
      </c>
      <c r="N19" s="1"/>
      <c r="O19" s="2">
        <f t="shared" si="6"/>
        <v>11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5">
      <c r="A20" s="4">
        <v>45962</v>
      </c>
      <c r="B20" s="4">
        <v>45967</v>
      </c>
      <c r="C20" s="1" t="s">
        <v>34</v>
      </c>
      <c r="D20" s="1">
        <v>48</v>
      </c>
      <c r="E20" s="1">
        <v>150</v>
      </c>
      <c r="F20" s="1">
        <v>140</v>
      </c>
      <c r="G20" s="1">
        <f t="shared" si="0"/>
        <v>0</v>
      </c>
      <c r="H20" s="1">
        <f t="shared" si="9"/>
        <v>92</v>
      </c>
      <c r="I20" s="5">
        <f t="shared" si="8"/>
        <v>0</v>
      </c>
      <c r="J20" s="5">
        <f t="shared" si="2"/>
        <v>0.65714285714285714</v>
      </c>
      <c r="K20" s="1">
        <f t="shared" si="3"/>
        <v>5</v>
      </c>
      <c r="L20" s="2" t="str">
        <f t="shared" si="4"/>
        <v>Sold</v>
      </c>
      <c r="M20" s="3">
        <f t="shared" si="10"/>
        <v>18.399999999999999</v>
      </c>
      <c r="N20" s="1"/>
      <c r="O20" s="2">
        <f t="shared" si="6"/>
        <v>11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4">
        <v>45962</v>
      </c>
      <c r="B21" s="4">
        <v>45969</v>
      </c>
      <c r="C21" s="1" t="s">
        <v>35</v>
      </c>
      <c r="D21" s="1">
        <v>12</v>
      </c>
      <c r="E21" s="1">
        <v>100</v>
      </c>
      <c r="F21" s="1">
        <v>100</v>
      </c>
      <c r="G21" s="1">
        <f t="shared" si="0"/>
        <v>0</v>
      </c>
      <c r="H21" s="1">
        <f t="shared" si="9"/>
        <v>88</v>
      </c>
      <c r="I21" s="5">
        <f t="shared" si="8"/>
        <v>0</v>
      </c>
      <c r="J21" s="5">
        <f t="shared" si="2"/>
        <v>0.88</v>
      </c>
      <c r="K21" s="1">
        <f t="shared" si="3"/>
        <v>7</v>
      </c>
      <c r="L21" s="2" t="str">
        <f t="shared" si="4"/>
        <v>Sold</v>
      </c>
      <c r="M21" s="3">
        <f t="shared" si="10"/>
        <v>12.571428571428571</v>
      </c>
      <c r="N21" s="1"/>
      <c r="O21" s="2">
        <f t="shared" si="6"/>
        <v>11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4">
        <v>45962</v>
      </c>
      <c r="B22" s="4">
        <v>45969</v>
      </c>
      <c r="C22" s="1" t="s">
        <v>36</v>
      </c>
      <c r="D22" s="1">
        <v>12</v>
      </c>
      <c r="E22" s="1">
        <v>50</v>
      </c>
      <c r="F22" s="1">
        <v>50</v>
      </c>
      <c r="G22" s="1">
        <f t="shared" si="0"/>
        <v>0</v>
      </c>
      <c r="H22" s="1">
        <f t="shared" si="9"/>
        <v>38</v>
      </c>
      <c r="I22" s="5">
        <f t="shared" si="8"/>
        <v>0</v>
      </c>
      <c r="J22" s="5">
        <f t="shared" si="2"/>
        <v>0.76</v>
      </c>
      <c r="K22" s="1">
        <f t="shared" si="3"/>
        <v>7</v>
      </c>
      <c r="L22" s="2" t="str">
        <f t="shared" si="4"/>
        <v>Sold</v>
      </c>
      <c r="M22" s="3">
        <f t="shared" si="10"/>
        <v>5.4285714285714288</v>
      </c>
      <c r="N22" s="1"/>
      <c r="O22" s="2">
        <f t="shared" si="6"/>
        <v>11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4">
        <v>45969</v>
      </c>
      <c r="B23" s="4">
        <v>45977</v>
      </c>
      <c r="C23" s="1" t="s">
        <v>37</v>
      </c>
      <c r="D23" s="1">
        <v>18</v>
      </c>
      <c r="E23" s="1">
        <v>125</v>
      </c>
      <c r="F23" s="1">
        <v>80</v>
      </c>
      <c r="G23" s="1">
        <f t="shared" si="0"/>
        <v>0</v>
      </c>
      <c r="H23" s="1">
        <f t="shared" si="9"/>
        <v>62</v>
      </c>
      <c r="I23" s="5">
        <f t="shared" si="8"/>
        <v>0</v>
      </c>
      <c r="J23" s="5">
        <f t="shared" si="2"/>
        <v>0.77500000000000002</v>
      </c>
      <c r="K23" s="1">
        <f t="shared" si="3"/>
        <v>8</v>
      </c>
      <c r="L23" s="2" t="str">
        <f t="shared" si="4"/>
        <v>Sold</v>
      </c>
      <c r="M23" s="3">
        <f t="shared" si="10"/>
        <v>7.75</v>
      </c>
      <c r="N23" s="1"/>
      <c r="O23" s="2">
        <f t="shared" si="6"/>
        <v>11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4">
        <v>45969</v>
      </c>
      <c r="B24" s="1"/>
      <c r="C24" s="1" t="s">
        <v>38</v>
      </c>
      <c r="D24" s="1">
        <v>15</v>
      </c>
      <c r="E24" s="1">
        <v>75</v>
      </c>
      <c r="F24" s="1"/>
      <c r="G24" s="1">
        <f t="shared" si="0"/>
        <v>60</v>
      </c>
      <c r="H24" s="1" t="str">
        <f t="shared" si="9"/>
        <v/>
      </c>
      <c r="I24" s="5">
        <f t="shared" si="8"/>
        <v>0.8</v>
      </c>
      <c r="J24" s="5" t="e">
        <f t="shared" si="2"/>
        <v>#DIV/0!</v>
      </c>
      <c r="K24" s="1">
        <f t="shared" si="3"/>
        <v>0</v>
      </c>
      <c r="L24" s="2" t="str">
        <f t="shared" si="4"/>
        <v>Listed</v>
      </c>
      <c r="M24" s="3" t="str">
        <f t="shared" si="10"/>
        <v/>
      </c>
      <c r="N24" s="1"/>
      <c r="O24" s="2">
        <f t="shared" si="6"/>
        <v>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4">
        <v>45969</v>
      </c>
      <c r="B25" s="1"/>
      <c r="C25" s="1" t="s">
        <v>39</v>
      </c>
      <c r="D25" s="1">
        <v>15</v>
      </c>
      <c r="E25" s="1">
        <v>75</v>
      </c>
      <c r="F25" s="1"/>
      <c r="G25" s="1">
        <f t="shared" si="0"/>
        <v>60</v>
      </c>
      <c r="H25" s="1" t="str">
        <f t="shared" si="9"/>
        <v/>
      </c>
      <c r="I25" s="5">
        <f t="shared" si="8"/>
        <v>0.8</v>
      </c>
      <c r="J25" s="5" t="e">
        <f t="shared" si="2"/>
        <v>#DIV/0!</v>
      </c>
      <c r="K25" s="1">
        <f t="shared" si="3"/>
        <v>0</v>
      </c>
      <c r="L25" s="2" t="str">
        <f t="shared" si="4"/>
        <v>Listed</v>
      </c>
      <c r="M25" s="3" t="str">
        <f t="shared" si="10"/>
        <v/>
      </c>
      <c r="N25" s="1"/>
      <c r="O25" s="2">
        <f t="shared" si="6"/>
        <v>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4">
        <v>45969</v>
      </c>
      <c r="B26" s="4">
        <v>45978</v>
      </c>
      <c r="C26" s="1" t="s">
        <v>40</v>
      </c>
      <c r="D26" s="1">
        <v>38</v>
      </c>
      <c r="E26" s="1">
        <v>150</v>
      </c>
      <c r="F26" s="1">
        <v>100</v>
      </c>
      <c r="G26" s="1">
        <f t="shared" si="0"/>
        <v>0</v>
      </c>
      <c r="H26" s="1">
        <f t="shared" si="9"/>
        <v>62</v>
      </c>
      <c r="I26" s="5">
        <f t="shared" si="8"/>
        <v>0</v>
      </c>
      <c r="J26" s="5">
        <f t="shared" si="2"/>
        <v>0.62</v>
      </c>
      <c r="K26" s="1">
        <f t="shared" si="3"/>
        <v>9</v>
      </c>
      <c r="L26" s="2" t="str">
        <f t="shared" si="4"/>
        <v>Sold</v>
      </c>
      <c r="M26" s="3">
        <f t="shared" si="10"/>
        <v>6.8888888888888893</v>
      </c>
      <c r="N26" s="1"/>
      <c r="O26" s="2">
        <f t="shared" si="6"/>
        <v>11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4">
        <v>45973</v>
      </c>
      <c r="B27" s="4">
        <v>45974</v>
      </c>
      <c r="C27" s="2" t="s">
        <v>41</v>
      </c>
      <c r="D27" s="1">
        <v>35</v>
      </c>
      <c r="E27" s="1">
        <v>200</v>
      </c>
      <c r="F27" s="1">
        <v>160</v>
      </c>
      <c r="G27" s="1">
        <f t="shared" si="0"/>
        <v>0</v>
      </c>
      <c r="H27" s="1">
        <f t="shared" si="9"/>
        <v>125</v>
      </c>
      <c r="I27" s="5">
        <f t="shared" si="8"/>
        <v>0</v>
      </c>
      <c r="J27" s="5">
        <f t="shared" si="2"/>
        <v>0.78125</v>
      </c>
      <c r="K27" s="1">
        <f t="shared" si="3"/>
        <v>1</v>
      </c>
      <c r="L27" s="2" t="str">
        <f t="shared" si="4"/>
        <v>Sold</v>
      </c>
      <c r="M27" s="3">
        <f t="shared" si="10"/>
        <v>125</v>
      </c>
      <c r="N27" s="1"/>
      <c r="O27" s="2">
        <f t="shared" si="6"/>
        <v>11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4">
        <v>45973</v>
      </c>
      <c r="B28" s="4">
        <v>45976</v>
      </c>
      <c r="C28" s="1" t="s">
        <v>42</v>
      </c>
      <c r="D28" s="1">
        <v>22</v>
      </c>
      <c r="E28" s="1">
        <v>100</v>
      </c>
      <c r="F28" s="1">
        <v>70</v>
      </c>
      <c r="G28" s="1">
        <f t="shared" si="0"/>
        <v>0</v>
      </c>
      <c r="H28" s="1">
        <f t="shared" si="9"/>
        <v>48</v>
      </c>
      <c r="I28" s="5">
        <f t="shared" si="8"/>
        <v>0</v>
      </c>
      <c r="J28" s="5">
        <f t="shared" si="2"/>
        <v>0.68571428571428572</v>
      </c>
      <c r="K28" s="1">
        <f t="shared" si="3"/>
        <v>3</v>
      </c>
      <c r="L28" s="2" t="str">
        <f t="shared" si="4"/>
        <v>Sold</v>
      </c>
      <c r="M28" s="3">
        <f t="shared" si="10"/>
        <v>16</v>
      </c>
      <c r="N28" s="1"/>
      <c r="O28" s="2">
        <f t="shared" si="6"/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4">
        <v>45975</v>
      </c>
      <c r="B29" s="4">
        <v>46004</v>
      </c>
      <c r="C29" s="1" t="s">
        <v>43</v>
      </c>
      <c r="D29" s="1">
        <v>45</v>
      </c>
      <c r="E29" s="1">
        <v>150</v>
      </c>
      <c r="F29" s="1">
        <v>75</v>
      </c>
      <c r="G29" s="1">
        <f t="shared" si="0"/>
        <v>0</v>
      </c>
      <c r="H29" s="1">
        <f t="shared" si="9"/>
        <v>30</v>
      </c>
      <c r="I29" s="5">
        <f t="shared" si="8"/>
        <v>0</v>
      </c>
      <c r="J29" s="5">
        <f t="shared" si="2"/>
        <v>0.4</v>
      </c>
      <c r="K29" s="1">
        <f t="shared" si="3"/>
        <v>29</v>
      </c>
      <c r="L29" s="2" t="str">
        <f t="shared" si="4"/>
        <v>Sold</v>
      </c>
      <c r="M29" s="3">
        <f t="shared" si="10"/>
        <v>1.0344827586206897</v>
      </c>
      <c r="N29" s="1"/>
      <c r="O29" s="2">
        <f t="shared" si="6"/>
        <v>12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4">
        <v>45975</v>
      </c>
      <c r="B30" s="4">
        <v>46009</v>
      </c>
      <c r="C30" s="1" t="s">
        <v>44</v>
      </c>
      <c r="D30" s="1">
        <v>3</v>
      </c>
      <c r="E30" s="1">
        <v>45</v>
      </c>
      <c r="F30" s="1">
        <v>20</v>
      </c>
      <c r="G30" s="1">
        <f t="shared" si="0"/>
        <v>0</v>
      </c>
      <c r="H30" s="1">
        <f t="shared" si="9"/>
        <v>17</v>
      </c>
      <c r="I30" s="5">
        <f t="shared" si="8"/>
        <v>0</v>
      </c>
      <c r="J30" s="5">
        <f t="shared" si="2"/>
        <v>0.85</v>
      </c>
      <c r="K30" s="1">
        <f t="shared" si="3"/>
        <v>34</v>
      </c>
      <c r="L30" s="2" t="str">
        <f t="shared" si="4"/>
        <v>Sold</v>
      </c>
      <c r="M30" s="3">
        <f t="shared" si="10"/>
        <v>0.5</v>
      </c>
      <c r="N30" s="1"/>
      <c r="O30" s="2">
        <f t="shared" si="6"/>
        <v>12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4">
        <v>45975</v>
      </c>
      <c r="B31" s="1"/>
      <c r="C31" s="1" t="s">
        <v>45</v>
      </c>
      <c r="D31" s="1">
        <v>6</v>
      </c>
      <c r="E31" s="1">
        <v>35</v>
      </c>
      <c r="F31" s="1"/>
      <c r="G31" s="1">
        <f t="shared" si="0"/>
        <v>29</v>
      </c>
      <c r="H31" s="1" t="str">
        <f t="shared" si="9"/>
        <v/>
      </c>
      <c r="I31" s="5">
        <f t="shared" si="8"/>
        <v>0.82857142857142863</v>
      </c>
      <c r="J31" s="5" t="e">
        <f t="shared" si="2"/>
        <v>#DIV/0!</v>
      </c>
      <c r="K31" s="1">
        <f t="shared" si="3"/>
        <v>0</v>
      </c>
      <c r="L31" s="2" t="str">
        <f t="shared" si="4"/>
        <v>Listed</v>
      </c>
      <c r="M31" s="3" t="str">
        <f t="shared" si="10"/>
        <v/>
      </c>
      <c r="N31" s="1"/>
      <c r="O31" s="2">
        <f t="shared" si="6"/>
        <v>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4">
        <v>45975</v>
      </c>
      <c r="B32" s="4">
        <v>45986</v>
      </c>
      <c r="C32" s="1" t="s">
        <v>46</v>
      </c>
      <c r="D32" s="1">
        <v>0</v>
      </c>
      <c r="E32" s="1">
        <v>100</v>
      </c>
      <c r="F32" s="1">
        <v>30</v>
      </c>
      <c r="G32" s="1">
        <f t="shared" si="0"/>
        <v>0</v>
      </c>
      <c r="H32" s="1">
        <f t="shared" si="9"/>
        <v>30</v>
      </c>
      <c r="I32" s="5">
        <f t="shared" si="8"/>
        <v>0</v>
      </c>
      <c r="J32" s="5">
        <f t="shared" si="2"/>
        <v>1</v>
      </c>
      <c r="K32" s="1">
        <f t="shared" si="3"/>
        <v>11</v>
      </c>
      <c r="L32" s="2" t="str">
        <f t="shared" si="4"/>
        <v>Sold</v>
      </c>
      <c r="M32" s="3">
        <f t="shared" si="10"/>
        <v>2.7272727272727271</v>
      </c>
      <c r="N32" s="1"/>
      <c r="O32" s="2">
        <f t="shared" si="6"/>
        <v>11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4">
        <v>45983</v>
      </c>
      <c r="B33" s="4">
        <v>45984</v>
      </c>
      <c r="C33" s="1" t="s">
        <v>47</v>
      </c>
      <c r="D33" s="1">
        <v>28</v>
      </c>
      <c r="E33" s="1">
        <v>100</v>
      </c>
      <c r="F33" s="1">
        <v>80</v>
      </c>
      <c r="G33" s="1">
        <f t="shared" si="0"/>
        <v>0</v>
      </c>
      <c r="H33" s="1">
        <f t="shared" si="9"/>
        <v>52</v>
      </c>
      <c r="I33" s="5">
        <f t="shared" si="8"/>
        <v>0</v>
      </c>
      <c r="J33" s="5">
        <f t="shared" si="2"/>
        <v>0.65</v>
      </c>
      <c r="K33" s="1">
        <f t="shared" si="3"/>
        <v>1</v>
      </c>
      <c r="L33" s="2" t="str">
        <f t="shared" si="4"/>
        <v>Sold</v>
      </c>
      <c r="M33" s="3">
        <f t="shared" si="10"/>
        <v>52</v>
      </c>
      <c r="N33" s="1"/>
      <c r="O33" s="2">
        <f t="shared" si="6"/>
        <v>11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4">
        <v>45983</v>
      </c>
      <c r="B34" s="4">
        <v>45991</v>
      </c>
      <c r="C34" s="1" t="s">
        <v>48</v>
      </c>
      <c r="D34" s="1">
        <v>47</v>
      </c>
      <c r="E34" s="1">
        <v>250</v>
      </c>
      <c r="F34" s="1">
        <v>275</v>
      </c>
      <c r="G34" s="1">
        <f t="shared" si="0"/>
        <v>0</v>
      </c>
      <c r="H34" s="1">
        <f t="shared" si="9"/>
        <v>228</v>
      </c>
      <c r="I34" s="5">
        <f t="shared" si="8"/>
        <v>0</v>
      </c>
      <c r="J34" s="5">
        <f t="shared" si="2"/>
        <v>0.8290909090909091</v>
      </c>
      <c r="K34" s="1">
        <f t="shared" si="3"/>
        <v>8</v>
      </c>
      <c r="L34" s="2" t="str">
        <f t="shared" si="4"/>
        <v>Sold</v>
      </c>
      <c r="M34" s="3">
        <f t="shared" si="10"/>
        <v>28.5</v>
      </c>
      <c r="N34" s="1"/>
      <c r="O34" s="2">
        <f t="shared" si="6"/>
        <v>11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4">
        <v>45983</v>
      </c>
      <c r="B35" s="1"/>
      <c r="C35" s="1" t="s">
        <v>49</v>
      </c>
      <c r="D35" s="1">
        <v>8</v>
      </c>
      <c r="E35" s="1">
        <v>45</v>
      </c>
      <c r="F35" s="1"/>
      <c r="G35" s="1">
        <f t="shared" si="0"/>
        <v>37</v>
      </c>
      <c r="H35" s="1" t="str">
        <f t="shared" si="9"/>
        <v/>
      </c>
      <c r="I35" s="5">
        <f t="shared" si="8"/>
        <v>0.82222222222222219</v>
      </c>
      <c r="J35" s="5" t="e">
        <f t="shared" si="2"/>
        <v>#DIV/0!</v>
      </c>
      <c r="K35" s="1">
        <f t="shared" si="3"/>
        <v>0</v>
      </c>
      <c r="L35" s="2" t="str">
        <f t="shared" si="4"/>
        <v>Listed</v>
      </c>
      <c r="M35" s="3" t="str">
        <f t="shared" si="10"/>
        <v/>
      </c>
      <c r="N35" s="1"/>
      <c r="O35" s="2">
        <f t="shared" si="6"/>
        <v>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4">
        <v>45983</v>
      </c>
      <c r="B36" s="4">
        <v>45992</v>
      </c>
      <c r="C36" s="1" t="s">
        <v>50</v>
      </c>
      <c r="D36" s="1">
        <v>13</v>
      </c>
      <c r="E36" s="1">
        <v>100</v>
      </c>
      <c r="F36" s="1">
        <v>85</v>
      </c>
      <c r="G36" s="1">
        <f t="shared" si="0"/>
        <v>0</v>
      </c>
      <c r="H36" s="1">
        <f t="shared" si="9"/>
        <v>72</v>
      </c>
      <c r="I36" s="5">
        <f t="shared" si="8"/>
        <v>0</v>
      </c>
      <c r="J36" s="5">
        <f t="shared" si="2"/>
        <v>0.84705882352941175</v>
      </c>
      <c r="K36" s="1">
        <f t="shared" si="3"/>
        <v>9</v>
      </c>
      <c r="L36" s="2" t="str">
        <f t="shared" si="4"/>
        <v>Sold</v>
      </c>
      <c r="M36" s="3">
        <f t="shared" si="10"/>
        <v>8</v>
      </c>
      <c r="N36" s="1"/>
      <c r="O36" s="2">
        <f t="shared" si="6"/>
        <v>12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4">
        <v>45991</v>
      </c>
      <c r="B37" s="4">
        <v>45994</v>
      </c>
      <c r="C37" s="1" t="s">
        <v>51</v>
      </c>
      <c r="D37" s="1">
        <v>5</v>
      </c>
      <c r="E37" s="1">
        <v>120</v>
      </c>
      <c r="F37" s="1">
        <v>120</v>
      </c>
      <c r="G37" s="1">
        <f t="shared" si="0"/>
        <v>0</v>
      </c>
      <c r="H37" s="1">
        <f t="shared" si="9"/>
        <v>115</v>
      </c>
      <c r="I37" s="5">
        <f t="shared" si="8"/>
        <v>0</v>
      </c>
      <c r="J37" s="5">
        <f t="shared" si="2"/>
        <v>0.95833333333333337</v>
      </c>
      <c r="K37" s="1">
        <f t="shared" si="3"/>
        <v>3</v>
      </c>
      <c r="L37" s="2" t="str">
        <f t="shared" si="4"/>
        <v>Sold</v>
      </c>
      <c r="M37" s="3">
        <f t="shared" si="10"/>
        <v>38.333333333333336</v>
      </c>
      <c r="N37" s="1"/>
      <c r="O37" s="2">
        <f t="shared" si="6"/>
        <v>12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4">
        <v>45991</v>
      </c>
      <c r="B38" s="4">
        <v>46000</v>
      </c>
      <c r="C38" s="1" t="s">
        <v>52</v>
      </c>
      <c r="D38" s="1">
        <v>15</v>
      </c>
      <c r="E38" s="1">
        <v>110</v>
      </c>
      <c r="F38" s="1">
        <v>100</v>
      </c>
      <c r="G38" s="1">
        <f t="shared" si="0"/>
        <v>0</v>
      </c>
      <c r="H38" s="1">
        <f t="shared" si="9"/>
        <v>85</v>
      </c>
      <c r="I38" s="5">
        <f t="shared" si="8"/>
        <v>0</v>
      </c>
      <c r="J38" s="5">
        <f t="shared" si="2"/>
        <v>0.85</v>
      </c>
      <c r="K38" s="1">
        <f t="shared" si="3"/>
        <v>9</v>
      </c>
      <c r="L38" s="2" t="str">
        <f t="shared" si="4"/>
        <v>Sold</v>
      </c>
      <c r="M38" s="3">
        <f t="shared" si="10"/>
        <v>9.4444444444444446</v>
      </c>
      <c r="N38" s="1"/>
      <c r="O38" s="2">
        <f t="shared" si="6"/>
        <v>12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4">
        <v>45991</v>
      </c>
      <c r="B39" s="4">
        <v>46028</v>
      </c>
      <c r="C39" s="1" t="s">
        <v>53</v>
      </c>
      <c r="D39" s="1">
        <v>4</v>
      </c>
      <c r="E39" s="1">
        <v>40</v>
      </c>
      <c r="F39" s="1">
        <v>40</v>
      </c>
      <c r="G39" s="1">
        <f t="shared" si="0"/>
        <v>0</v>
      </c>
      <c r="H39" s="1">
        <f t="shared" si="9"/>
        <v>36</v>
      </c>
      <c r="I39" s="5">
        <f t="shared" si="8"/>
        <v>0</v>
      </c>
      <c r="J39" s="5">
        <f t="shared" si="2"/>
        <v>0.9</v>
      </c>
      <c r="K39" s="1">
        <f t="shared" si="3"/>
        <v>37</v>
      </c>
      <c r="L39" s="2" t="str">
        <f t="shared" si="4"/>
        <v>Sold</v>
      </c>
      <c r="M39" s="3">
        <f t="shared" si="10"/>
        <v>0.97297297297297303</v>
      </c>
      <c r="N39" s="1"/>
      <c r="O39" s="2">
        <f t="shared" si="6"/>
        <v>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4">
        <v>45991</v>
      </c>
      <c r="B40" s="1"/>
      <c r="C40" s="1" t="s">
        <v>54</v>
      </c>
      <c r="D40" s="1">
        <v>6</v>
      </c>
      <c r="E40" s="1">
        <v>45</v>
      </c>
      <c r="F40" s="1"/>
      <c r="G40" s="1">
        <f t="shared" si="0"/>
        <v>39</v>
      </c>
      <c r="H40" s="1" t="str">
        <f t="shared" si="9"/>
        <v/>
      </c>
      <c r="I40" s="5">
        <f t="shared" si="8"/>
        <v>0.8666666666666667</v>
      </c>
      <c r="J40" s="5" t="e">
        <f t="shared" si="2"/>
        <v>#DIV/0!</v>
      </c>
      <c r="K40" s="1">
        <f t="shared" si="3"/>
        <v>0</v>
      </c>
      <c r="L40" s="2" t="str">
        <f t="shared" si="4"/>
        <v>Listed</v>
      </c>
      <c r="M40" s="3" t="str">
        <f t="shared" si="10"/>
        <v/>
      </c>
      <c r="N40" s="1"/>
      <c r="O40" s="2">
        <f t="shared" si="6"/>
        <v>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/>
      <c r="B41" s="4">
        <v>46002</v>
      </c>
      <c r="C41" s="1" t="s">
        <v>55</v>
      </c>
      <c r="D41" s="1">
        <v>0</v>
      </c>
      <c r="E41" s="1">
        <v>300</v>
      </c>
      <c r="F41" s="1">
        <v>300</v>
      </c>
      <c r="G41" s="1">
        <f t="shared" si="0"/>
        <v>0</v>
      </c>
      <c r="H41" s="1">
        <f t="shared" si="9"/>
        <v>300</v>
      </c>
      <c r="I41" s="5">
        <f t="shared" si="8"/>
        <v>0</v>
      </c>
      <c r="J41" s="5">
        <f t="shared" si="2"/>
        <v>1</v>
      </c>
      <c r="K41" s="4">
        <f t="shared" si="3"/>
        <v>46002</v>
      </c>
      <c r="L41" s="2" t="str">
        <f t="shared" si="4"/>
        <v>Sold</v>
      </c>
      <c r="M41" s="3">
        <f t="shared" si="10"/>
        <v>6.5214555888874395E-3</v>
      </c>
      <c r="N41" s="1"/>
      <c r="O41" s="2">
        <f t="shared" si="6"/>
        <v>12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4">
        <v>46001</v>
      </c>
      <c r="B42" s="1"/>
      <c r="C42" s="1" t="s">
        <v>56</v>
      </c>
      <c r="D42" s="1">
        <v>15</v>
      </c>
      <c r="E42" s="1">
        <v>85</v>
      </c>
      <c r="F42" s="1"/>
      <c r="G42" s="1">
        <f t="shared" si="0"/>
        <v>70</v>
      </c>
      <c r="H42" s="1" t="str">
        <f t="shared" si="9"/>
        <v/>
      </c>
      <c r="I42" s="5">
        <f t="shared" si="8"/>
        <v>0.82352941176470584</v>
      </c>
      <c r="J42" s="5" t="e">
        <f t="shared" si="2"/>
        <v>#DIV/0!</v>
      </c>
      <c r="K42" s="1">
        <f t="shared" si="3"/>
        <v>0</v>
      </c>
      <c r="L42" s="2" t="str">
        <f t="shared" si="4"/>
        <v>Listed</v>
      </c>
      <c r="M42" s="3" t="str">
        <f t="shared" si="10"/>
        <v/>
      </c>
      <c r="N42" s="1"/>
      <c r="O42" s="2">
        <f t="shared" si="6"/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4">
        <v>45996</v>
      </c>
      <c r="B43" s="4">
        <v>46004</v>
      </c>
      <c r="C43" s="1" t="s">
        <v>57</v>
      </c>
      <c r="D43" s="1">
        <v>10</v>
      </c>
      <c r="E43" s="1">
        <v>75</v>
      </c>
      <c r="F43" s="1">
        <v>75</v>
      </c>
      <c r="G43" s="1">
        <f t="shared" si="0"/>
        <v>0</v>
      </c>
      <c r="H43" s="1">
        <f t="shared" si="9"/>
        <v>65</v>
      </c>
      <c r="I43" s="5">
        <f t="shared" si="8"/>
        <v>0</v>
      </c>
      <c r="J43" s="5">
        <f t="shared" si="2"/>
        <v>0.8666666666666667</v>
      </c>
      <c r="K43" s="1">
        <f t="shared" si="3"/>
        <v>8</v>
      </c>
      <c r="L43" s="2" t="str">
        <f t="shared" si="4"/>
        <v>Sold</v>
      </c>
      <c r="M43" s="3">
        <f t="shared" si="10"/>
        <v>8.125</v>
      </c>
      <c r="N43" s="1"/>
      <c r="O43" s="2">
        <f t="shared" si="6"/>
        <v>12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4">
        <v>45996</v>
      </c>
      <c r="B44" s="1"/>
      <c r="C44" s="1" t="s">
        <v>58</v>
      </c>
      <c r="D44" s="1">
        <v>8</v>
      </c>
      <c r="E44" s="1">
        <v>60</v>
      </c>
      <c r="F44" s="1"/>
      <c r="G44" s="1">
        <f t="shared" si="0"/>
        <v>52</v>
      </c>
      <c r="H44" s="1" t="str">
        <f t="shared" si="9"/>
        <v/>
      </c>
      <c r="I44" s="5">
        <f t="shared" si="8"/>
        <v>0.8666666666666667</v>
      </c>
      <c r="J44" s="5" t="e">
        <f t="shared" si="2"/>
        <v>#DIV/0!</v>
      </c>
      <c r="K44" s="1">
        <f t="shared" si="3"/>
        <v>0</v>
      </c>
      <c r="L44" s="2" t="str">
        <f t="shared" si="4"/>
        <v>Listed</v>
      </c>
      <c r="M44" s="3" t="str">
        <f t="shared" si="10"/>
        <v/>
      </c>
      <c r="N44" s="1"/>
      <c r="O44" s="2">
        <f t="shared" si="6"/>
        <v>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4">
        <v>45996</v>
      </c>
      <c r="B45" s="4">
        <v>46047</v>
      </c>
      <c r="C45" s="1" t="s">
        <v>59</v>
      </c>
      <c r="D45" s="1">
        <v>14</v>
      </c>
      <c r="E45" s="1">
        <v>100</v>
      </c>
      <c r="F45" s="1">
        <v>80</v>
      </c>
      <c r="G45" s="1">
        <f t="shared" si="0"/>
        <v>0</v>
      </c>
      <c r="H45" s="1">
        <f t="shared" si="9"/>
        <v>66</v>
      </c>
      <c r="I45" s="5">
        <f t="shared" si="8"/>
        <v>0</v>
      </c>
      <c r="J45" s="5">
        <f t="shared" si="2"/>
        <v>0.82499999999999996</v>
      </c>
      <c r="K45" s="1">
        <f t="shared" si="3"/>
        <v>51</v>
      </c>
      <c r="L45" s="2" t="str">
        <f t="shared" si="4"/>
        <v>Sold</v>
      </c>
      <c r="M45" s="3">
        <f t="shared" si="10"/>
        <v>1.2941176470588236</v>
      </c>
      <c r="N45" s="1"/>
      <c r="O45" s="2">
        <f t="shared" si="6"/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4">
        <v>46006</v>
      </c>
      <c r="B46" s="4">
        <v>46024</v>
      </c>
      <c r="C46" s="1" t="s">
        <v>60</v>
      </c>
      <c r="D46" s="1">
        <v>50</v>
      </c>
      <c r="E46" s="1">
        <v>400</v>
      </c>
      <c r="F46" s="1">
        <v>400</v>
      </c>
      <c r="G46" s="1">
        <f t="shared" si="0"/>
        <v>0</v>
      </c>
      <c r="H46" s="1">
        <f t="shared" si="9"/>
        <v>350</v>
      </c>
      <c r="I46" s="5">
        <f t="shared" si="8"/>
        <v>0</v>
      </c>
      <c r="J46" s="5">
        <f t="shared" si="2"/>
        <v>0.875</v>
      </c>
      <c r="K46" s="1">
        <f t="shared" si="3"/>
        <v>18</v>
      </c>
      <c r="L46" s="2" t="str">
        <f t="shared" si="4"/>
        <v>Sold</v>
      </c>
      <c r="M46" s="3">
        <f t="shared" si="10"/>
        <v>19.444444444444443</v>
      </c>
      <c r="N46" s="1"/>
      <c r="O46" s="2">
        <f t="shared" si="6"/>
        <v>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4">
        <v>46011</v>
      </c>
      <c r="B47" s="4">
        <v>46039</v>
      </c>
      <c r="C47" s="1" t="s">
        <v>61</v>
      </c>
      <c r="D47" s="1">
        <v>64</v>
      </c>
      <c r="E47" s="1">
        <v>300</v>
      </c>
      <c r="F47" s="1">
        <v>275</v>
      </c>
      <c r="G47" s="1">
        <f t="shared" si="0"/>
        <v>0</v>
      </c>
      <c r="H47" s="1">
        <f t="shared" si="9"/>
        <v>211</v>
      </c>
      <c r="I47" s="5">
        <f t="shared" si="8"/>
        <v>0</v>
      </c>
      <c r="J47" s="5">
        <f t="shared" si="2"/>
        <v>0.76727272727272722</v>
      </c>
      <c r="K47" s="1">
        <f t="shared" si="3"/>
        <v>28</v>
      </c>
      <c r="L47" s="2" t="str">
        <f t="shared" si="4"/>
        <v>Sold</v>
      </c>
      <c r="M47" s="3">
        <f t="shared" si="10"/>
        <v>7.5357142857142856</v>
      </c>
      <c r="N47" s="1"/>
      <c r="O47" s="2">
        <f t="shared" si="6"/>
        <v>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4">
        <v>46011</v>
      </c>
      <c r="B48" s="4">
        <v>46048</v>
      </c>
      <c r="C48" s="1" t="s">
        <v>62</v>
      </c>
      <c r="D48" s="1">
        <v>47</v>
      </c>
      <c r="E48" s="1">
        <v>250</v>
      </c>
      <c r="F48" s="1">
        <v>250</v>
      </c>
      <c r="G48" s="1">
        <f t="shared" si="0"/>
        <v>0</v>
      </c>
      <c r="H48" s="1">
        <f t="shared" si="9"/>
        <v>203</v>
      </c>
      <c r="I48" s="5">
        <f t="shared" si="8"/>
        <v>0</v>
      </c>
      <c r="J48" s="5">
        <f t="shared" si="2"/>
        <v>0.81200000000000006</v>
      </c>
      <c r="K48" s="1">
        <f t="shared" si="3"/>
        <v>37</v>
      </c>
      <c r="L48" s="2" t="str">
        <f t="shared" si="4"/>
        <v>Sold</v>
      </c>
      <c r="M48" s="3">
        <f t="shared" si="10"/>
        <v>5.4864864864864868</v>
      </c>
      <c r="N48" s="1"/>
      <c r="O48" s="2">
        <f t="shared" si="6"/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4">
        <v>46039</v>
      </c>
      <c r="B49" s="1"/>
      <c r="C49" s="1" t="s">
        <v>63</v>
      </c>
      <c r="D49" s="1">
        <v>30</v>
      </c>
      <c r="E49" s="1">
        <v>425</v>
      </c>
      <c r="F49" s="1"/>
      <c r="G49" s="1">
        <f t="shared" si="0"/>
        <v>395</v>
      </c>
      <c r="H49" s="1" t="str">
        <f t="shared" si="9"/>
        <v/>
      </c>
      <c r="I49" s="5">
        <f t="shared" si="8"/>
        <v>0.92941176470588238</v>
      </c>
      <c r="J49" s="5" t="e">
        <f t="shared" si="2"/>
        <v>#DIV/0!</v>
      </c>
      <c r="K49" s="1">
        <f t="shared" si="3"/>
        <v>0</v>
      </c>
      <c r="L49" s="2" t="str">
        <f t="shared" si="4"/>
        <v>Listed</v>
      </c>
      <c r="M49" s="3" t="str">
        <f t="shared" si="10"/>
        <v/>
      </c>
      <c r="N49" s="1"/>
      <c r="O49" s="2">
        <f t="shared" si="6"/>
        <v>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4">
        <v>46054</v>
      </c>
      <c r="B50" s="4">
        <v>46061</v>
      </c>
      <c r="C50" s="1" t="s">
        <v>64</v>
      </c>
      <c r="D50" s="1">
        <v>8</v>
      </c>
      <c r="E50" s="1">
        <v>200</v>
      </c>
      <c r="F50" s="1">
        <v>200</v>
      </c>
      <c r="G50" s="1">
        <f t="shared" si="0"/>
        <v>0</v>
      </c>
      <c r="H50" s="1">
        <f t="shared" si="9"/>
        <v>192</v>
      </c>
      <c r="I50" s="1"/>
      <c r="J50" s="1"/>
      <c r="K50" s="1"/>
      <c r="L50" s="1"/>
      <c r="M50" s="3" t="str">
        <f t="shared" si="10"/>
        <v/>
      </c>
      <c r="N50" s="1"/>
      <c r="O50" s="2">
        <f t="shared" si="6"/>
        <v>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4">
        <v>46054</v>
      </c>
      <c r="B51" s="1"/>
      <c r="C51" s="1" t="s">
        <v>65</v>
      </c>
      <c r="D51" s="1">
        <v>30</v>
      </c>
      <c r="E51" s="1"/>
      <c r="F51" s="1"/>
      <c r="G51" s="1">
        <f t="shared" si="0"/>
        <v>-30</v>
      </c>
      <c r="H51" s="1" t="str">
        <f t="shared" si="9"/>
        <v/>
      </c>
      <c r="I51" s="1"/>
      <c r="J51" s="1"/>
      <c r="K51" s="1"/>
      <c r="L51" s="1"/>
      <c r="M51" s="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/>
      <c r="B52" s="1"/>
      <c r="C52" s="1"/>
      <c r="D52" s="1"/>
      <c r="E52" s="1"/>
      <c r="F52" s="1"/>
      <c r="G52" s="1"/>
      <c r="H52" s="1">
        <f t="shared" si="9"/>
        <v>0</v>
      </c>
      <c r="I52" s="1"/>
      <c r="J52" s="1"/>
      <c r="K52" s="1"/>
      <c r="L52" s="1"/>
      <c r="M52" s="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6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6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7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2" t="s">
        <v>72</v>
      </c>
    </row>
    <row r="2" spans="1:7" ht="15.75" customHeight="1" x14ac:dyDescent="0.25">
      <c r="A2" s="1">
        <f>SUM(Log!D:D)</f>
        <v>1107</v>
      </c>
      <c r="B2" s="1">
        <f>SUM(Log!F:F)</f>
        <v>5130</v>
      </c>
      <c r="C2" s="1">
        <f>SUM(Log!H:H)</f>
        <v>4166</v>
      </c>
      <c r="D2" s="1">
        <f>SUM(Log!G:G)</f>
        <v>702</v>
      </c>
      <c r="E2" s="1">
        <f>C2+D2</f>
        <v>4868</v>
      </c>
      <c r="F2" s="1">
        <f>SUMIF(Log!F:F,"",Log!D:D)</f>
        <v>143</v>
      </c>
    </row>
    <row r="5" spans="1:7" ht="15.75" customHeight="1" x14ac:dyDescent="0.25">
      <c r="A5" s="1" t="s">
        <v>14</v>
      </c>
      <c r="B5" s="1" t="s">
        <v>15</v>
      </c>
    </row>
    <row r="6" spans="1:7" ht="15.75" customHeight="1" x14ac:dyDescent="0.25">
      <c r="A6" s="1">
        <v>10</v>
      </c>
      <c r="B6" s="1">
        <f>SUMIF(Log!O:O,A6,Log!H:H)</f>
        <v>831</v>
      </c>
    </row>
    <row r="7" spans="1:7" ht="15.75" customHeight="1" x14ac:dyDescent="0.25">
      <c r="A7" s="1">
        <v>11</v>
      </c>
      <c r="B7" s="1">
        <f>SUMIF(Log!O:O,A7,Log!H:H)</f>
        <v>1468</v>
      </c>
    </row>
    <row r="8" spans="1:7" ht="15.75" customHeight="1" x14ac:dyDescent="0.25">
      <c r="A8" s="1">
        <v>12</v>
      </c>
      <c r="B8" s="1">
        <f>SUMIF(Log!O:O,A8,Log!H:H)</f>
        <v>749</v>
      </c>
    </row>
    <row r="9" spans="1:7" ht="15.75" customHeight="1" x14ac:dyDescent="0.25">
      <c r="A9" s="1">
        <v>1</v>
      </c>
      <c r="B9" s="1">
        <f>SUMIF(Log!O:O,A9,Log!H:H)</f>
        <v>926</v>
      </c>
    </row>
    <row r="10" spans="1:7" ht="15.75" customHeight="1" x14ac:dyDescent="0.25">
      <c r="A10" s="1">
        <v>2</v>
      </c>
      <c r="B10" s="1">
        <f>SUMIF(Log!O:O,A10,Log!H:H)</f>
        <v>192</v>
      </c>
    </row>
    <row r="37" spans="3:3" ht="15.5" x14ac:dyDescent="0.35">
      <c r="C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Morrison</dc:creator>
  <cp:lastModifiedBy>Noah Morrison</cp:lastModifiedBy>
  <dcterms:created xsi:type="dcterms:W3CDTF">2026-02-14T16:10:35Z</dcterms:created>
  <dcterms:modified xsi:type="dcterms:W3CDTF">2026-02-14T16:10:35Z</dcterms:modified>
</cp:coreProperties>
</file>